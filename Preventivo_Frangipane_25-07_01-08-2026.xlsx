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o Villa Olimp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.00"/>
    <numFmt numFmtId="165" formatCode="yyyy-mm-dd h:mm:ss"/>
    <numFmt numFmtId="166" formatCode="DD/MM/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0"/>
    </font>
    <font>
      <name val="Calibri"/>
      <b val="1"/>
      <color rgb="001B4F72"/>
      <sz val="14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C0392B"/>
      <sz val="11"/>
    </font>
    <font>
      <name val="Calibri"/>
      <i val="1"/>
      <color rgb="007F8C8D"/>
      <sz val="9"/>
    </font>
  </fonts>
  <fills count="8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9E6"/>
        <bgColor rgb="00FFF9E6"/>
      </patternFill>
    </fill>
    <fill>
      <patternFill patternType="solid">
        <fgColor rgb="00D4AF37"/>
        <bgColor rgb="00D4AF37"/>
      </patternFill>
    </fill>
    <fill>
      <patternFill patternType="solid">
        <fgColor rgb="00ECF0F1"/>
        <bgColor rgb="00ECF0F1"/>
      </patternFill>
    </fill>
    <fill>
      <patternFill patternType="solid">
        <fgColor rgb="0027AE60"/>
        <bgColor rgb="0027AE60"/>
      </patternFill>
    </fill>
    <fill>
      <patternFill patternType="solid">
        <fgColor rgb="00FADBD8"/>
        <bgColor rgb="00FADBD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5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🏛️ VILLA OLIMPIA</t>
        </is>
      </c>
    </row>
    <row r="2">
      <c r="A2" s="2" t="inlineStr">
        <is>
          <t>Luxury Vacation Rentals - Capopiccolo, Calabria</t>
        </is>
      </c>
    </row>
    <row r="4">
      <c r="A4" s="3" t="inlineStr">
        <is>
          <t>PREVENTIVO DI SOGGIORNO</t>
        </is>
      </c>
      <c r="C4" s="4" t="inlineStr">
        <is>
          <t>N° Preventivo:</t>
        </is>
      </c>
      <c r="D4" s="5" t="inlineStr">
        <is>
          <t>---</t>
        </is>
      </c>
    </row>
    <row r="5">
      <c r="C5" s="6" t="inlineStr">
        <is>
          <t>Data emissione:</t>
        </is>
      </c>
      <c r="D5" s="6" t="inlineStr">
        <is>
          <t>01/02/2026</t>
        </is>
      </c>
    </row>
    <row r="6">
      <c r="C6" s="6" t="inlineStr">
        <is>
          <t>Validità:</t>
        </is>
      </c>
      <c r="D6" s="6" t="inlineStr">
        <is>
          <t>7 giorni</t>
        </is>
      </c>
    </row>
    <row r="8">
      <c r="A8" s="7" t="inlineStr">
        <is>
          <t>DATI CLIENTE</t>
        </is>
      </c>
    </row>
    <row r="9">
      <c r="A9" s="4" t="inlineStr">
        <is>
          <t>Nome e Cognome:</t>
        </is>
      </c>
      <c r="B9" s="8" t="inlineStr">
        <is>
          <t>Cliente</t>
        </is>
      </c>
      <c r="C9" s="26" t="n"/>
      <c r="D9" s="27" t="n"/>
    </row>
    <row r="10">
      <c r="A10" s="4" t="inlineStr">
        <is>
          <t>Email:</t>
        </is>
      </c>
      <c r="B10" s="8" t="inlineStr"/>
      <c r="C10" s="26" t="n"/>
      <c r="D10" s="27" t="n"/>
    </row>
    <row r="11">
      <c r="A11" s="4" t="inlineStr">
        <is>
          <t>Telefono:</t>
        </is>
      </c>
      <c r="B11" s="8" t="inlineStr"/>
      <c r="C11" s="26" t="n"/>
      <c r="D11" s="27" t="n"/>
    </row>
    <row r="13">
      <c r="A13" s="7" t="inlineStr">
        <is>
          <t>DETTAGLI SOGGIORNO</t>
        </is>
      </c>
    </row>
    <row r="14">
      <c r="A14" s="4" t="inlineStr">
        <is>
          <t>Lodge selezionato:</t>
        </is>
      </c>
      <c r="B14" s="8" t="inlineStr">
        <is>
          <t>FRANGIPANE</t>
        </is>
      </c>
      <c r="C14" s="26" t="n"/>
      <c r="D14" s="27" t="n"/>
    </row>
    <row r="15">
      <c r="A15" s="4" t="inlineStr">
        <is>
          <t>Data arrivo (Check-in ore 15:00):</t>
        </is>
      </c>
      <c r="B15" s="28" t="n">
        <v>46228</v>
      </c>
      <c r="C15" s="4" t="inlineStr">
        <is>
          <t>Data partenza (Check-out ore 10:30):</t>
        </is>
      </c>
      <c r="D15" s="28" t="n">
        <v>46235</v>
      </c>
    </row>
    <row r="16">
      <c r="A16" s="4" t="inlineStr">
        <is>
          <t>Numero notti:</t>
        </is>
      </c>
      <c r="B16" s="9">
        <f>IF(AND(ISNUMBER(D15),ISNUMBER(B15)),D15-B15,0)</f>
        <v/>
      </c>
    </row>
    <row r="17">
      <c r="A17" s="4" t="inlineStr">
        <is>
          <t>Numero ospiti:</t>
        </is>
      </c>
      <c r="B17" s="8" t="n">
        <v>0</v>
      </c>
    </row>
    <row r="19">
      <c r="A19" s="7" t="inlineStr">
        <is>
          <t>RIEPILOGO ECONOMICO</t>
        </is>
      </c>
    </row>
    <row r="20">
      <c r="A20" s="10" t="inlineStr">
        <is>
          <t>Descrizione</t>
        </is>
      </c>
      <c r="B20" s="10" t="inlineStr">
        <is>
          <t>Dettaglio</t>
        </is>
      </c>
      <c r="C20" s="10" t="inlineStr">
        <is>
          <t>Importo €</t>
        </is>
      </c>
      <c r="D20" s="10" t="inlineStr">
        <is>
          <t>Totale €</t>
        </is>
      </c>
    </row>
    <row r="21">
      <c r="A21" s="11" t="inlineStr">
        <is>
          <t>Tariffa giornaliera lodge</t>
        </is>
      </c>
      <c r="B21" s="8" t="inlineStr">
        <is>
          <t>Inserisci tariffa €/notte</t>
        </is>
      </c>
      <c r="C21" s="12" t="n">
        <v>145</v>
      </c>
      <c r="D21" s="13">
        <f>C21*B16</f>
        <v/>
      </c>
    </row>
    <row r="22">
      <c r="A22" s="11" t="inlineStr">
        <is>
          <t>Tassa di soggiorno</t>
        </is>
      </c>
      <c r="B22" s="11" t="inlineStr">
        <is>
          <t>€2,00 x ospiti x notti</t>
        </is>
      </c>
      <c r="C22" s="12" t="inlineStr">
        <is>
          <t>2.00</t>
        </is>
      </c>
      <c r="D22" s="13">
        <f>2*B17*B16</f>
        <v/>
      </c>
    </row>
    <row r="24">
      <c r="A24" s="14" t="inlineStr">
        <is>
          <t>TOTALE SOGGIORNO</t>
        </is>
      </c>
      <c r="B24" s="26" t="n"/>
      <c r="C24" s="27" t="n"/>
      <c r="D24" s="15">
        <f>D21+D22</f>
        <v/>
      </c>
    </row>
    <row r="26">
      <c r="A26" s="16" t="inlineStr">
        <is>
          <t>ACCONTO RICHIESTO (30% per conferma prenotazione)</t>
        </is>
      </c>
      <c r="B26" s="26" t="n"/>
      <c r="C26" s="27" t="n"/>
      <c r="D26" s="17">
        <f>D24*0.30</f>
        <v/>
      </c>
    </row>
    <row r="27">
      <c r="A27" s="18" t="inlineStr">
        <is>
          <t>SALDO (da versare all'arrivo)</t>
        </is>
      </c>
      <c r="B27" s="26" t="n"/>
      <c r="C27" s="27" t="n"/>
      <c r="D27" s="19">
        <f>D24*0.70</f>
        <v/>
      </c>
    </row>
    <row r="30">
      <c r="A30" s="20" t="inlineStr">
        <is>
          <t>✅ INCLUSO NELLA TARIFFA</t>
        </is>
      </c>
    </row>
    <row r="31">
      <c r="A31" s="21" t="inlineStr">
        <is>
          <t>✓ Biancheria da letto e da bagno sanificata</t>
        </is>
      </c>
    </row>
    <row r="32">
      <c r="A32" s="21" t="inlineStr">
        <is>
          <t>✓ Set cortesia completo</t>
        </is>
      </c>
    </row>
    <row r="33">
      <c r="A33" s="21" t="inlineStr">
        <is>
          <t>✓ Pulizie finali</t>
        </is>
      </c>
    </row>
    <row r="34">
      <c r="A34" s="21" t="inlineStr">
        <is>
          <t>✓ Aria climatizzata</t>
        </is>
      </c>
    </row>
    <row r="35">
      <c r="A35" s="21" t="inlineStr">
        <is>
          <t>✓ TV LED</t>
        </is>
      </c>
    </row>
    <row r="36">
      <c r="A36" s="21" t="inlineStr">
        <is>
          <t>✓ Cucina completa con elettrodomestici (frigo, freezer, fornelli 4 fuochi, microonde, bollitore, macchina caffè)</t>
        </is>
      </c>
    </row>
    <row r="37">
      <c r="A37" s="21" t="inlineStr">
        <is>
          <t>✓ Lavatrice</t>
        </is>
      </c>
    </row>
    <row r="38">
      <c r="A38" s="21" t="inlineStr">
        <is>
          <t>✓ Uso esclusivo piscina e giardino attrezzato</t>
        </is>
      </c>
    </row>
    <row r="39">
      <c r="A39" s="21" t="inlineStr">
        <is>
          <t>✓ BBQ privato per lodge</t>
        </is>
      </c>
    </row>
    <row r="40">
      <c r="A40" s="21" t="inlineStr">
        <is>
          <t>✓ Parcheggio area antistante villa</t>
        </is>
      </c>
    </row>
    <row r="41">
      <c r="A41" s="21" t="inlineStr">
        <is>
          <t>✓ Wi-Fi (disponibile su richiesta)</t>
        </is>
      </c>
    </row>
    <row r="43">
      <c r="A43" s="22" t="inlineStr">
        <is>
          <t>📋 CONDIZIONI DI PRENOTAZIONE</t>
        </is>
      </c>
    </row>
    <row r="44">
      <c r="A44" s="23" t="inlineStr">
        <is>
          <t>CHECK-IN: dalle ore 15:00</t>
        </is>
      </c>
    </row>
    <row r="45">
      <c r="A45" s="23" t="inlineStr">
        <is>
          <t>CHECK-OUT: entro le ore 10:30</t>
        </is>
      </c>
    </row>
    <row r="46" ht="5" customHeight="1"/>
    <row r="47">
      <c r="A47" s="23" t="inlineStr">
        <is>
          <t>MODALITÀ DI PAGAMENTO:</t>
        </is>
      </c>
    </row>
    <row r="48">
      <c r="A48" s="24" t="inlineStr">
        <is>
          <t>• Acconto 30% per confermare la prenotazione (bonifico bancario/PayPal)</t>
        </is>
      </c>
    </row>
    <row r="49">
      <c r="A49" s="24" t="inlineStr">
        <is>
          <t>• Saldo 70% da versare all'arrivo (contanti o bonifico)</t>
        </is>
      </c>
    </row>
    <row r="50" ht="5" customHeight="1"/>
    <row r="51">
      <c r="A51" s="23" t="inlineStr">
        <is>
          <t>POLICY DI CANCELLAZIONE:</t>
        </is>
      </c>
    </row>
    <row r="52">
      <c r="A52" s="24" t="inlineStr">
        <is>
          <t>• Cancellazione con più di 30 giorni dalla data di arrivo: rimborso totale dell'acconto</t>
        </is>
      </c>
    </row>
    <row r="53">
      <c r="A53" s="24" t="inlineStr">
        <is>
          <t>• Cancellazione con meno di 30 giorni dalla data di arrivo: acconto non rimborsabile</t>
        </is>
      </c>
    </row>
    <row r="54" ht="5" customHeight="1"/>
    <row r="55">
      <c r="A55" s="23" t="inlineStr">
        <is>
          <t>DEPOSITO CAUZIONALE: Non richiesto</t>
        </is>
      </c>
    </row>
    <row r="56" ht="5" customHeight="1"/>
    <row r="57">
      <c r="A57" s="23" t="inlineStr">
        <is>
          <t>SOGGIORNO MINIMO:</t>
        </is>
      </c>
    </row>
    <row r="58">
      <c r="A58" s="24" t="inlineStr">
        <is>
          <t>• Giugno: Nessun minimo</t>
        </is>
      </c>
    </row>
    <row r="59">
      <c r="A59" s="24" t="inlineStr">
        <is>
          <t>• Luglio: 3 notti (salvo eccezioni)</t>
        </is>
      </c>
    </row>
    <row r="60">
      <c r="A60" s="24" t="inlineStr">
        <is>
          <t>• Agosto: 7 notti</t>
        </is>
      </c>
    </row>
    <row r="63">
      <c r="A63" s="25" t="inlineStr">
        <is>
          <t>Villa Olimpia - Capopiccolo, Calabria | Tropea &amp; Capo Vaticano | A soli 70 metri dal mare</t>
        </is>
      </c>
    </row>
    <row r="64">
      <c r="A64" s="25" t="inlineStr">
        <is>
          <t>📧 info@villao limpia.it | 📱 +39 XXX XXX XXXX | 🌐 www.villao limpia.it</t>
        </is>
      </c>
    </row>
  </sheetData>
  <mergeCells count="45">
    <mergeCell ref="B11:D11"/>
    <mergeCell ref="A8:D8"/>
    <mergeCell ref="B14:D14"/>
    <mergeCell ref="A53:D53"/>
    <mergeCell ref="A35:D35"/>
    <mergeCell ref="A38:D38"/>
    <mergeCell ref="A52:D52"/>
    <mergeCell ref="A27:C27"/>
    <mergeCell ref="A43:D43"/>
    <mergeCell ref="A19:D19"/>
    <mergeCell ref="A63:D63"/>
    <mergeCell ref="A26:C26"/>
    <mergeCell ref="A13:D13"/>
    <mergeCell ref="A44:D44"/>
    <mergeCell ref="B10:D10"/>
    <mergeCell ref="A40:D40"/>
    <mergeCell ref="A31:D31"/>
    <mergeCell ref="A58:D58"/>
    <mergeCell ref="A34:D34"/>
    <mergeCell ref="A48:D48"/>
    <mergeCell ref="A30:D30"/>
    <mergeCell ref="A39:D39"/>
    <mergeCell ref="B9:D9"/>
    <mergeCell ref="A59:D59"/>
    <mergeCell ref="A64:D64"/>
    <mergeCell ref="A49:D49"/>
    <mergeCell ref="A51:D51"/>
    <mergeCell ref="A60:D60"/>
    <mergeCell ref="A36:D36"/>
    <mergeCell ref="A1:D1"/>
    <mergeCell ref="A45:D45"/>
    <mergeCell ref="A54:D54"/>
    <mergeCell ref="A41:D41"/>
    <mergeCell ref="A46:D46"/>
    <mergeCell ref="A24:C24"/>
    <mergeCell ref="A4:B4"/>
    <mergeCell ref="A37:D37"/>
    <mergeCell ref="A56:D56"/>
    <mergeCell ref="A50:D50"/>
    <mergeCell ref="A55:D55"/>
    <mergeCell ref="A57:D57"/>
    <mergeCell ref="A2:D2"/>
    <mergeCell ref="A33:D33"/>
    <mergeCell ref="A47:D47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2026-02-01T17:17:40Z</dcterms:created>
  <dcterms:modified xsi:type="dcterms:W3CDTF">2026-02-09T15:46:27Z</dcterms:modified>
</cp:coreProperties>
</file>